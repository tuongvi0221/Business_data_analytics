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k6_uit\ptdlkd\project\dataset\"/>
    </mc:Choice>
  </mc:AlternateContent>
  <xr:revisionPtr revIDLastSave="0" documentId="13_ncr:1_{811679B6-9D1C-4D76-BEB6-515A898346E1}" xr6:coauthVersionLast="47" xr6:coauthVersionMax="47" xr10:uidLastSave="{00000000-0000-0000-0000-000000000000}"/>
  <bookViews>
    <workbookView xWindow="-110" yWindow="-110" windowWidth="22620" windowHeight="13500" xr2:uid="{8FD4862C-8BA1-450E-9E19-F67252E03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43" i="1"/>
  <c r="B52" i="1" s="1"/>
  <c r="B49" i="1"/>
  <c r="B47" i="1"/>
  <c r="C46" i="1" a="1"/>
  <c r="C46" i="1" s="1"/>
  <c r="D46" i="1" a="1"/>
  <c r="D46" i="1" s="1"/>
  <c r="B46" i="1" a="1"/>
  <c r="B46" i="1" s="1"/>
  <c r="B11" i="1"/>
  <c r="B39" i="1"/>
  <c r="B37" i="1"/>
  <c r="C36" i="1"/>
  <c r="D36" i="1"/>
  <c r="B36" i="1"/>
  <c r="D28" i="1" a="1"/>
  <c r="D28" i="1" s="1"/>
  <c r="C28" i="1" a="1"/>
  <c r="C28" i="1" s="1"/>
  <c r="B28" i="1" a="1"/>
  <c r="B28" i="1" s="1"/>
  <c r="C26" i="1"/>
  <c r="B24" i="1"/>
  <c r="C23" i="1"/>
  <c r="D23" i="1"/>
  <c r="B23" i="1"/>
  <c r="B22" i="1"/>
  <c r="D17" i="1"/>
  <c r="D18" i="1"/>
  <c r="D19" i="1"/>
  <c r="D20" i="1"/>
  <c r="D21" i="1"/>
  <c r="D16" i="1"/>
  <c r="C10" i="1"/>
  <c r="C16" i="1" s="1"/>
  <c r="D10" i="1"/>
  <c r="B10" i="1"/>
  <c r="B16" i="1" s="1"/>
  <c r="B54" i="1" l="1"/>
  <c r="B21" i="1"/>
  <c r="B20" i="1"/>
  <c r="B19" i="1"/>
  <c r="B18" i="1"/>
  <c r="B17" i="1"/>
  <c r="C20" i="1"/>
  <c r="C19" i="1"/>
  <c r="C18" i="1"/>
  <c r="C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<sst xmlns="http://schemas.openxmlformats.org/spreadsheetml/2006/main" count="25" uniqueCount="21">
  <si>
    <t>G1</t>
  </si>
  <si>
    <t>G2</t>
  </si>
  <si>
    <t>G3</t>
  </si>
  <si>
    <t>Tiền kiểm định LEVENE</t>
  </si>
  <si>
    <t>Z=zij</t>
  </si>
  <si>
    <t>zi tb</t>
  </si>
  <si>
    <t>z tb</t>
  </si>
  <si>
    <t>Tổng ni(ztbi - ztb) ^ 2</t>
  </si>
  <si>
    <t>Tổng</t>
  </si>
  <si>
    <t>W</t>
  </si>
  <si>
    <t>fcrit</t>
  </si>
  <si>
    <t>f(2,15) = 3.68</t>
  </si>
  <si>
    <t>do W &lt; fcrit =&gt; Chấp nhận H0 =&gt; Phương sai đồng nhất</t>
  </si>
  <si>
    <t>SSB</t>
  </si>
  <si>
    <t>xi trung bình</t>
  </si>
  <si>
    <t xml:space="preserve">x tb </t>
  </si>
  <si>
    <t>SSW</t>
  </si>
  <si>
    <t>SST</t>
  </si>
  <si>
    <t>MSW</t>
  </si>
  <si>
    <t xml:space="preserve">MSB </t>
  </si>
  <si>
    <t>Fstat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</si>
</sst>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"/>
    <numFmt numFmtId="170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15F2-1F85-4C19-ACA4-B661A8005FCC}">
  <dimension ref="A2:D54"/>
  <sheetViews>
    <sheetView tabSelected="1" topLeftCell="A40" zoomScale="96" workbookViewId="0">
      <selection activeCell="B52" sqref="B52"/>
    </sheetView>
  </sheetViews>
  <sheetFormatPr defaultRowHeight="14.5" x14ac:dyDescent="0.35"/>
  <cols>
    <col min="1" max="1" width="10.54296875" customWidth="1"/>
    <col min="2" max="2" width="11.1796875" customWidth="1"/>
    <col min="3" max="3" width="10.453125" customWidth="1"/>
    <col min="4" max="4" width="11.54296875" customWidth="1"/>
  </cols>
  <sheetData>
    <row r="2" spans="1:4" x14ac:dyDescent="0.35">
      <c r="B2" t="s">
        <v>0</v>
      </c>
      <c r="C2" t="s">
        <v>1</v>
      </c>
      <c r="D2" t="s">
        <v>2</v>
      </c>
    </row>
    <row r="3" spans="1:4" x14ac:dyDescent="0.35">
      <c r="B3">
        <v>6.6</v>
      </c>
      <c r="C3">
        <v>5.6</v>
      </c>
      <c r="D3">
        <v>6.1</v>
      </c>
    </row>
    <row r="4" spans="1:4" x14ac:dyDescent="0.35">
      <c r="B4">
        <v>6.8</v>
      </c>
      <c r="C4">
        <v>5.8</v>
      </c>
      <c r="D4">
        <v>6.3</v>
      </c>
    </row>
    <row r="5" spans="1:4" x14ac:dyDescent="0.35">
      <c r="B5">
        <v>6.9</v>
      </c>
      <c r="C5">
        <v>6</v>
      </c>
      <c r="D5">
        <v>6.8</v>
      </c>
    </row>
    <row r="6" spans="1:4" x14ac:dyDescent="0.35">
      <c r="B6">
        <v>7.1</v>
      </c>
      <c r="C6">
        <v>6.2</v>
      </c>
      <c r="D6">
        <v>6.4</v>
      </c>
    </row>
    <row r="7" spans="1:4" x14ac:dyDescent="0.35">
      <c r="B7">
        <v>7.5</v>
      </c>
      <c r="C7">
        <v>7.2</v>
      </c>
      <c r="D7">
        <v>6.5</v>
      </c>
    </row>
    <row r="8" spans="1:4" x14ac:dyDescent="0.35">
      <c r="B8">
        <v>7.5</v>
      </c>
      <c r="D8">
        <v>7.5</v>
      </c>
    </row>
    <row r="9" spans="1:4" x14ac:dyDescent="0.35">
      <c r="B9">
        <v>7.8</v>
      </c>
    </row>
    <row r="10" spans="1:4" ht="13.5" customHeight="1" x14ac:dyDescent="0.35">
      <c r="A10" t="s">
        <v>14</v>
      </c>
      <c r="B10">
        <f>AVERAGE(B3:B9)</f>
        <v>7.1714285714285708</v>
      </c>
      <c r="C10">
        <f t="shared" ref="C10:D10" si="0">AVERAGE(C3:C9)</f>
        <v>6.1599999999999993</v>
      </c>
      <c r="D10">
        <f t="shared" si="0"/>
        <v>6.6000000000000005</v>
      </c>
    </row>
    <row r="11" spans="1:4" x14ac:dyDescent="0.35">
      <c r="A11" t="s">
        <v>15</v>
      </c>
      <c r="B11">
        <f>AVERAGE(B10:D10)</f>
        <v>6.6438095238095238</v>
      </c>
    </row>
    <row r="12" spans="1:4" x14ac:dyDescent="0.35">
      <c r="A12" t="s">
        <v>3</v>
      </c>
    </row>
    <row r="14" spans="1:4" x14ac:dyDescent="0.35">
      <c r="A14" t="s">
        <v>4</v>
      </c>
    </row>
    <row r="15" spans="1:4" x14ac:dyDescent="0.35">
      <c r="B15" t="s">
        <v>0</v>
      </c>
      <c r="C15" t="s">
        <v>1</v>
      </c>
      <c r="D15" t="s">
        <v>2</v>
      </c>
    </row>
    <row r="16" spans="1:4" x14ac:dyDescent="0.35">
      <c r="B16" s="2">
        <f>ABS(B3-$B$10)</f>
        <v>0.57142857142857117</v>
      </c>
      <c r="C16">
        <f>ABS(C3-$C$10)</f>
        <v>0.55999999999999961</v>
      </c>
      <c r="D16">
        <f>ABS(D3-$D$10)</f>
        <v>0.50000000000000089</v>
      </c>
    </row>
    <row r="17" spans="1:4" x14ac:dyDescent="0.35">
      <c r="B17" s="2">
        <f t="shared" ref="B17:B22" si="1">ABS(B4-$B$10)</f>
        <v>0.371428571428571</v>
      </c>
      <c r="C17">
        <f t="shared" ref="C17:C20" si="2">ABS(C4-$C$10)</f>
        <v>0.35999999999999943</v>
      </c>
      <c r="D17">
        <f t="shared" ref="D17:D21" si="3">ABS(D4-$D$10)</f>
        <v>0.30000000000000071</v>
      </c>
    </row>
    <row r="18" spans="1:4" x14ac:dyDescent="0.35">
      <c r="B18" s="2">
        <f t="shared" si="1"/>
        <v>0.27142857142857046</v>
      </c>
      <c r="C18">
        <f t="shared" si="2"/>
        <v>0.15999999999999925</v>
      </c>
      <c r="D18">
        <f t="shared" si="3"/>
        <v>0.19999999999999929</v>
      </c>
    </row>
    <row r="19" spans="1:4" x14ac:dyDescent="0.35">
      <c r="B19" s="2">
        <f t="shared" si="1"/>
        <v>7.1428571428571175E-2</v>
      </c>
      <c r="C19">
        <f t="shared" si="2"/>
        <v>4.0000000000000924E-2</v>
      </c>
      <c r="D19">
        <f t="shared" si="3"/>
        <v>0.20000000000000018</v>
      </c>
    </row>
    <row r="20" spans="1:4" x14ac:dyDescent="0.35">
      <c r="B20" s="2">
        <f t="shared" si="1"/>
        <v>0.32857142857142918</v>
      </c>
      <c r="C20">
        <f t="shared" si="2"/>
        <v>1.0400000000000009</v>
      </c>
      <c r="D20">
        <f t="shared" si="3"/>
        <v>0.10000000000000053</v>
      </c>
    </row>
    <row r="21" spans="1:4" x14ac:dyDescent="0.35">
      <c r="B21" s="2">
        <f t="shared" si="1"/>
        <v>0.32857142857142918</v>
      </c>
      <c r="D21">
        <f t="shared" si="3"/>
        <v>0.89999999999999947</v>
      </c>
    </row>
    <row r="22" spans="1:4" x14ac:dyDescent="0.35">
      <c r="B22" s="2">
        <f t="shared" si="1"/>
        <v>0.628571428571429</v>
      </c>
    </row>
    <row r="23" spans="1:4" x14ac:dyDescent="0.35">
      <c r="A23" t="s">
        <v>5</v>
      </c>
      <c r="B23" s="2">
        <f>AVERAGE(B16:B22)</f>
        <v>0.36734693877551017</v>
      </c>
      <c r="C23" s="2">
        <f t="shared" ref="C23:D23" si="4">AVERAGE(C16:C22)</f>
        <v>0.43200000000000005</v>
      </c>
      <c r="D23" s="2">
        <f t="shared" si="4"/>
        <v>0.36666666666666686</v>
      </c>
    </row>
    <row r="24" spans="1:4" x14ac:dyDescent="0.35">
      <c r="A24" t="s">
        <v>6</v>
      </c>
      <c r="B24" s="2">
        <f>AVERAGE(B23:D23)</f>
        <v>0.38867120181405901</v>
      </c>
    </row>
    <row r="26" spans="1:4" x14ac:dyDescent="0.35">
      <c r="A26" t="s">
        <v>7</v>
      </c>
      <c r="C26">
        <f>7*POWER((B23-B24),2)+5*POWER((C23-B24),2)+6*POWER((D23-B24),2)</f>
        <v>1.5475190522467479E-2</v>
      </c>
    </row>
    <row r="28" spans="1:4" x14ac:dyDescent="0.35">
      <c r="B28" s="1" cm="1">
        <f t="array" ref="B28:B34">POWER(B16:B22 - $B$23, 2)</f>
        <v>4.1649312786338939E-2</v>
      </c>
      <c r="C28" cm="1">
        <f t="array" ref="C28:C32">POWER(C16:C20 - $C$23, 2)</f>
        <v>1.6383999999999888E-2</v>
      </c>
      <c r="D28" cm="1">
        <f t="array" ref="D28:D33">POWER(D16:D21 - $D$23, 2)</f>
        <v>1.7777777777777962E-2</v>
      </c>
    </row>
    <row r="29" spans="1:4" x14ac:dyDescent="0.35">
      <c r="B29" s="1">
        <v>1.6659725114532384E-5</v>
      </c>
      <c r="C29">
        <v>5.1840000000000896E-3</v>
      </c>
      <c r="D29">
        <v>4.4444444444443759E-3</v>
      </c>
    </row>
    <row r="30" spans="1:4" x14ac:dyDescent="0.35">
      <c r="B30" s="1">
        <v>9.2003331945024695E-3</v>
      </c>
      <c r="C30">
        <v>7.3984000000000438E-2</v>
      </c>
      <c r="D30">
        <v>2.7777777777778082E-2</v>
      </c>
    </row>
    <row r="31" spans="1:4" x14ac:dyDescent="0.35">
      <c r="B31" s="1">
        <v>8.7567680133277925E-2</v>
      </c>
      <c r="C31">
        <v>0.15366399999999933</v>
      </c>
      <c r="D31">
        <v>2.7777777777777783E-2</v>
      </c>
    </row>
    <row r="32" spans="1:4" x14ac:dyDescent="0.35">
      <c r="B32" s="1">
        <v>1.5035401915867888E-3</v>
      </c>
      <c r="C32">
        <v>0.36966400000000105</v>
      </c>
      <c r="D32">
        <v>7.1111111111110931E-2</v>
      </c>
    </row>
    <row r="33" spans="1:4" x14ac:dyDescent="0.35">
      <c r="B33" s="1">
        <v>1.5035401915867888E-3</v>
      </c>
      <c r="D33">
        <v>0.28444444444444361</v>
      </c>
    </row>
    <row r="34" spans="1:4" x14ac:dyDescent="0.35">
      <c r="B34" s="1">
        <v>6.8238234069138107E-2</v>
      </c>
    </row>
    <row r="36" spans="1:4" x14ac:dyDescent="0.35">
      <c r="B36" s="1">
        <f>SUM(_xlfn.ANCHORARRAY(B28))</f>
        <v>0.20967930029154558</v>
      </c>
      <c r="C36" s="1">
        <f t="shared" ref="C36:D36" si="5">SUM(_xlfn.ANCHORARRAY(C28))</f>
        <v>0.61888000000000076</v>
      </c>
      <c r="D36" s="1">
        <f t="shared" si="5"/>
        <v>0.43333333333333274</v>
      </c>
    </row>
    <row r="37" spans="1:4" x14ac:dyDescent="0.35">
      <c r="A37" t="s">
        <v>8</v>
      </c>
      <c r="B37" s="1">
        <f>SUM(B36:D36)</f>
        <v>1.261892633624879</v>
      </c>
    </row>
    <row r="39" spans="1:4" x14ac:dyDescent="0.35">
      <c r="A39" t="s">
        <v>9</v>
      </c>
      <c r="B39">
        <f>15/2*(C26/B37)</f>
        <v>9.1976072944576881E-2</v>
      </c>
    </row>
    <row r="41" spans="1:4" x14ac:dyDescent="0.35">
      <c r="A41" t="s">
        <v>10</v>
      </c>
      <c r="B41" t="s">
        <v>11</v>
      </c>
    </row>
    <row r="42" spans="1:4" x14ac:dyDescent="0.35">
      <c r="A42" t="s">
        <v>12</v>
      </c>
    </row>
    <row r="43" spans="1:4" x14ac:dyDescent="0.35">
      <c r="A43" t="s">
        <v>13</v>
      </c>
      <c r="B43">
        <f>7*POWER(B10-B11,2) + 5*POWER(C10-B11,2) + 6*POWER(D10-B11,2)</f>
        <v>3.1305469387755092</v>
      </c>
    </row>
    <row r="46" spans="1:4" x14ac:dyDescent="0.35">
      <c r="A46" t="s">
        <v>16</v>
      </c>
      <c r="B46" cm="1">
        <f t="array" ref="B46">SUM(POWER(B16:B22,2))</f>
        <v>1.1542857142857144</v>
      </c>
      <c r="C46" cm="1">
        <f t="array" ref="C46">SUM(POWER(C16:C22,2))</f>
        <v>1.5520000000000009</v>
      </c>
      <c r="D46" cm="1">
        <f t="array" ref="D46">SUM(POWER(D16:D22,2))</f>
        <v>1.2400000000000002</v>
      </c>
    </row>
    <row r="47" spans="1:4" x14ac:dyDescent="0.35">
      <c r="A47" t="s">
        <v>8</v>
      </c>
      <c r="B47">
        <f>SUM(B46:D46)</f>
        <v>3.9462857142857155</v>
      </c>
    </row>
    <row r="49" spans="1:2" x14ac:dyDescent="0.35">
      <c r="A49" t="s">
        <v>17</v>
      </c>
      <c r="B49">
        <f>B44+B47</f>
        <v>3.9462857142857155</v>
      </c>
    </row>
    <row r="51" spans="1:2" x14ac:dyDescent="0.35">
      <c r="A51" t="s">
        <v>18</v>
      </c>
      <c r="B51">
        <f>B47/15</f>
        <v>0.26308571428571437</v>
      </c>
    </row>
    <row r="52" spans="1:2" x14ac:dyDescent="0.35">
      <c r="A52" t="s">
        <v>19</v>
      </c>
      <c r="B52">
        <f>B43/2</f>
        <v>1.5652734693877546</v>
      </c>
    </row>
    <row r="54" spans="1:2" x14ac:dyDescent="0.35">
      <c r="A54" t="s">
        <v>20</v>
      </c>
      <c r="B54">
        <f>B52/B51</f>
        <v>5.9496710934591004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XUAN</dc:creator>
  <cp:lastModifiedBy>Lê Thị Ánh Xuân</cp:lastModifiedBy>
  <dcterms:created xsi:type="dcterms:W3CDTF">2025-03-05T01:46:38Z</dcterms:created>
  <dcterms:modified xsi:type="dcterms:W3CDTF">2025-03-05T02:35:15Z</dcterms:modified>
</cp:coreProperties>
</file>